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il\OneDrive\Documentos\DIO\bootcamp-reclame-aqui\Projetos\"/>
    </mc:Choice>
  </mc:AlternateContent>
  <xr:revisionPtr revIDLastSave="0" documentId="13_ncr:1_{27EFE052-9CDB-4113-A925-864C673AC99E}" xr6:coauthVersionLast="47" xr6:coauthVersionMax="47" xr10:uidLastSave="{00000000-0000-0000-0000-000000000000}"/>
  <bookViews>
    <workbookView xWindow="-108" yWindow="-108" windowWidth="23256" windowHeight="12456" xr2:uid="{B74F78BC-94B2-41C3-8FB3-09DD92BDEAAB}"/>
  </bookViews>
  <sheets>
    <sheet name="Ju_Invest" sheetId="1" r:id="rId1"/>
    <sheet name="Planilha2" sheetId="2" r:id="rId2"/>
  </sheets>
  <definedNames>
    <definedName name="aporte">Ju_Invest!$E$21</definedName>
    <definedName name="aporte_30">Ju_Invest!$E$71</definedName>
    <definedName name="patrimonio">Ju_Invest!$E$24</definedName>
    <definedName name="patrimonio_30">Ju_Invest!$E$78</definedName>
    <definedName name="qtd_anos">Ju_Invest!$E$22</definedName>
    <definedName name="qtd_anos_30">Ju_Invest!$E$76</definedName>
    <definedName name="Salario">Ju_Invest!$E$15</definedName>
    <definedName name="Salario_30">Ju_Invest!$E$69</definedName>
    <definedName name="taxa_mensal">Ju_Invest!$E$23</definedName>
    <definedName name="taxa_mensal_30">Ju_Invest!$E$77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6" i="1" l="1"/>
  <c r="D97" i="1"/>
  <c r="D98" i="1"/>
  <c r="D99" i="1"/>
  <c r="D100" i="1"/>
  <c r="D95" i="1"/>
  <c r="E75" i="1"/>
  <c r="E91" i="1" s="1"/>
  <c r="E71" i="1"/>
  <c r="D31" i="1"/>
  <c r="E31" i="1" s="1"/>
  <c r="D32" i="1"/>
  <c r="E32" i="1" s="1"/>
  <c r="D33" i="1"/>
  <c r="E33" i="1" s="1"/>
  <c r="D30" i="1"/>
  <c r="E30" i="1" s="1"/>
  <c r="D29" i="1"/>
  <c r="E29" i="1" s="1"/>
  <c r="D45" i="1"/>
  <c r="E45" i="1" s="1"/>
  <c r="D44" i="1"/>
  <c r="E44" i="1" s="1"/>
  <c r="D43" i="1"/>
  <c r="E43" i="1" s="1"/>
  <c r="D42" i="1"/>
  <c r="E42" i="1" s="1"/>
  <c r="D40" i="1"/>
  <c r="E40" i="1" s="1"/>
  <c r="D41" i="1"/>
  <c r="E41" i="1" s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E24" i="1"/>
  <c r="E17" i="1"/>
  <c r="E98" i="1" l="1"/>
  <c r="E99" i="1"/>
  <c r="E100" i="1"/>
  <c r="E95" i="1"/>
  <c r="E96" i="1"/>
  <c r="E97" i="1"/>
  <c r="D86" i="1"/>
  <c r="E86" i="1" s="1"/>
  <c r="D87" i="1"/>
  <c r="E87" i="1" s="1"/>
  <c r="D83" i="1"/>
  <c r="E83" i="1" s="1"/>
  <c r="E78" i="1"/>
  <c r="E79" i="1" s="1"/>
  <c r="D85" i="1"/>
  <c r="E85" i="1" s="1"/>
  <c r="D84" i="1"/>
  <c r="E84" i="1" s="1"/>
  <c r="E46" i="1"/>
  <c r="E25" i="1"/>
  <c r="E101" i="1" l="1"/>
</calcChain>
</file>

<file path=xl/sharedStrings.xml><?xml version="1.0" encoding="utf-8"?>
<sst xmlns="http://schemas.openxmlformats.org/spreadsheetml/2006/main" count="98" uniqueCount="37">
  <si>
    <t>CONFIGURAÇÕES</t>
  </si>
  <si>
    <t>Salário</t>
  </si>
  <si>
    <t>Rendimento Carteira</t>
  </si>
  <si>
    <t>INVESTIMENTO MENSAL</t>
  </si>
  <si>
    <t>Por quantos anos?</t>
  </si>
  <si>
    <t>CENÁRIOS</t>
  </si>
  <si>
    <t>Quanto em 2 anos?</t>
  </si>
  <si>
    <t>Quanto em  5 anos?</t>
  </si>
  <si>
    <t>Quanto em 10 anos?</t>
  </si>
  <si>
    <t>Quanto em 20 anos?</t>
  </si>
  <si>
    <t>Quanto em 30 anos?</t>
  </si>
  <si>
    <t>Quanto investir por mês?</t>
  </si>
  <si>
    <t>Qual a taxa de rendimento mensal?</t>
  </si>
  <si>
    <t>Quanto de patrimônio vai acumular?</t>
  </si>
  <si>
    <t>Quanto vai receber de dividendo por mês?</t>
  </si>
  <si>
    <t>Sugestão de investimento (30%)</t>
  </si>
  <si>
    <t>Dividendo</t>
  </si>
  <si>
    <t>PERFIL</t>
  </si>
  <si>
    <t>Moderado</t>
  </si>
  <si>
    <t>Agressivo</t>
  </si>
  <si>
    <t>Conservador</t>
  </si>
  <si>
    <t>VALOR A SER INVESTIDO POR MÊS</t>
  </si>
  <si>
    <t>TIPO DE FII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</si>
  <si>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</si>
  <si>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</si>
  <si>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</si>
  <si>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</si>
  <si>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</si>
  <si>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</si>
  <si>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</si>
  <si>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</si>
  <si>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Percentual Sugerido</t>
  </si>
  <si>
    <t>Valores</t>
  </si>
  <si>
    <t>CENÁRIOS 30%</t>
  </si>
  <si>
    <t>Perfil</t>
  </si>
  <si>
    <t>CONFIGURAÇÕES 30% DO SALÁRIO</t>
  </si>
  <si>
    <t>INVESTIMENTO MENSAL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</si>
</sst>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0" fillId="0" borderId="0" xfId="0" applyNumberFormat="1"/>
    <xf numFmtId="0" fontId="1" fillId="3" borderId="0" xfId="0" applyFont="1" applyFill="1"/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4" borderId="0" xfId="0" applyFill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6" fillId="4" borderId="0" xfId="0" applyFont="1" applyFill="1"/>
    <xf numFmtId="164" fontId="6" fillId="4" borderId="0" xfId="0" applyNumberFormat="1" applyFont="1" applyFill="1" applyAlignment="1">
      <alignment horizontal="left"/>
    </xf>
    <xf numFmtId="164" fontId="0" fillId="0" borderId="1" xfId="0" applyNumberFormat="1" applyBorder="1" applyAlignment="1">
      <alignment horizontal="left"/>
    </xf>
    <xf numFmtId="10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8" fontId="0" fillId="0" borderId="1" xfId="0" applyNumberFormat="1" applyBorder="1" applyAlignment="1">
      <alignment horizontal="left"/>
    </xf>
    <xf numFmtId="8" fontId="5" fillId="0" borderId="1" xfId="0" applyNumberFormat="1" applyFont="1" applyBorder="1" applyAlignment="1">
      <alignment horizontal="left" vertical="center"/>
    </xf>
    <xf numFmtId="0" fontId="8" fillId="6" borderId="6" xfId="0" applyFont="1" applyFill="1" applyBorder="1"/>
    <xf numFmtId="0" fontId="7" fillId="6" borderId="6" xfId="0" applyFont="1" applyFill="1" applyBorder="1"/>
    <xf numFmtId="0" fontId="1" fillId="0" borderId="0" xfId="0" applyFont="1"/>
    <xf numFmtId="1" fontId="0" fillId="0" borderId="8" xfId="0" applyNumberFormat="1" applyBorder="1" applyAlignment="1">
      <alignment horizontal="left"/>
    </xf>
    <xf numFmtId="0" fontId="3" fillId="0" borderId="0" xfId="0" applyFont="1" applyAlignment="1">
      <alignment horizontal="left"/>
    </xf>
    <xf numFmtId="0" fontId="0" fillId="6" borderId="0" xfId="0" applyFill="1"/>
    <xf numFmtId="1" fontId="0" fillId="0" borderId="11" xfId="0" applyNumberFormat="1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03-4872-A465-83AA444976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03-4872-A465-83AA444976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03-4872-A465-83AA444976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03-4872-A465-83AA444976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F03-4872-A465-83AA444976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F03-4872-A465-83AA444976D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PAPEL</c:v>
              </c:pt>
              <c:pt idx="1">
                <c:v>TIJOLO</c:v>
              </c:pt>
              <c:pt idx="2">
                <c:v>HÍBRIDOS</c:v>
              </c:pt>
              <c:pt idx="3">
                <c:v>FOFs</c:v>
              </c:pt>
              <c:pt idx="4">
                <c:v>DESENVOLVIMENTO</c:v>
              </c:pt>
              <c:pt idx="5">
                <c:v>HOTELARIAS</c:v>
              </c:pt>
            </c:strLit>
          </c:cat>
          <c:val>
            <c:numRef>
              <c:f>Ju_Invest!$D$40:$D$45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8A-45B4-93A5-5590F233526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F03-4872-A465-83AA444976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F03-4872-A465-83AA444976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F03-4872-A465-83AA444976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F03-4872-A465-83AA444976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F03-4872-A465-83AA444976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F03-4872-A465-83AA444976D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PAPEL</c:v>
              </c:pt>
              <c:pt idx="1">
                <c:v>TIJOLO</c:v>
              </c:pt>
              <c:pt idx="2">
                <c:v>HÍBRIDOS</c:v>
              </c:pt>
              <c:pt idx="3">
                <c:v>FOFs</c:v>
              </c:pt>
              <c:pt idx="4">
                <c:v>DESENVOLVIMENTO</c:v>
              </c:pt>
              <c:pt idx="5">
                <c:v>HOTELARIAS</c:v>
              </c:pt>
            </c:strLit>
          </c:cat>
          <c:val>
            <c:numRef>
              <c:f>Ju_Invest!$E$40:$E$45</c:f>
              <c:numCache>
                <c:formatCode>"R$"\ #,##0.00</c:formatCode>
                <c:ptCount val="6"/>
                <c:pt idx="0">
                  <c:v>64</c:v>
                </c:pt>
                <c:pt idx="1">
                  <c:v>70</c:v>
                </c:pt>
                <c:pt idx="2">
                  <c:v>16</c:v>
                </c:pt>
                <c:pt idx="3">
                  <c:v>10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8A-45B4-93A5-5590F2335264}"/>
            </c:ext>
          </c:extLst>
        </c:ser>
        <c:ser>
          <c:idx val="2"/>
          <c:order val="2"/>
          <c:tx>
            <c:strRef>
              <c:f>Ju_Invest!$B$40:$B$45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F03-4872-A465-83AA444976D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PAPEL</c:v>
              </c:pt>
              <c:pt idx="1">
                <c:v>TIJOLO</c:v>
              </c:pt>
              <c:pt idx="2">
                <c:v>HÍBRIDOS</c:v>
              </c:pt>
              <c:pt idx="3">
                <c:v>FOFs</c:v>
              </c:pt>
              <c:pt idx="4">
                <c:v>DESENVOLVIMENTO</c:v>
              </c:pt>
              <c:pt idx="5">
                <c:v>HOTELARIAS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8-C98A-45B4-93A5-5590F233526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13-4F66-802C-287C52088B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113-4F66-802C-287C52088B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113-4F66-802C-287C52088B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113-4F66-802C-287C52088B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113-4F66-802C-287C52088B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113-4F66-802C-287C52088B7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PAPEL</c:v>
              </c:pt>
              <c:pt idx="1">
                <c:v>TIJOLO</c:v>
              </c:pt>
              <c:pt idx="2">
                <c:v>HÍBRIDOS</c:v>
              </c:pt>
              <c:pt idx="3">
                <c:v>FOFs</c:v>
              </c:pt>
              <c:pt idx="4">
                <c:v>DESENVOLVIMENTO</c:v>
              </c:pt>
              <c:pt idx="5">
                <c:v>HOTELARIAS</c:v>
              </c:pt>
            </c:strLit>
          </c:cat>
          <c:val>
            <c:numRef>
              <c:f>Ju_Invest!$D$95:$D$100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00-4F76-9809-00A56F329627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113-4F66-802C-287C52088B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113-4F66-802C-287C52088B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113-4F66-802C-287C52088B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113-4F66-802C-287C52088B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2113-4F66-802C-287C52088B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113-4F66-802C-287C52088B7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PAPEL</c:v>
              </c:pt>
              <c:pt idx="1">
                <c:v>TIJOLO</c:v>
              </c:pt>
              <c:pt idx="2">
                <c:v>HÍBRIDOS</c:v>
              </c:pt>
              <c:pt idx="3">
                <c:v>FOFs</c:v>
              </c:pt>
              <c:pt idx="4">
                <c:v>DESENVOLVIMENTO</c:v>
              </c:pt>
              <c:pt idx="5">
                <c:v>HOTELARIAS</c:v>
              </c:pt>
            </c:strLit>
          </c:cat>
          <c:val>
            <c:numRef>
              <c:f>Ju_Invest!$E$95:$E$100</c:f>
              <c:numCache>
                <c:formatCode>"R$"\ #,##0.00</c:formatCode>
                <c:ptCount val="6"/>
                <c:pt idx="0">
                  <c:v>1500</c:v>
                </c:pt>
                <c:pt idx="1">
                  <c:v>300</c:v>
                </c:pt>
                <c:pt idx="2">
                  <c:v>150</c:v>
                </c:pt>
                <c:pt idx="3">
                  <c:v>150</c:v>
                </c:pt>
                <c:pt idx="4">
                  <c:v>600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00-4F76-9809-00A56F32962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1</xdr:row>
      <xdr:rowOff>91440</xdr:rowOff>
    </xdr:from>
    <xdr:to>
      <xdr:col>5</xdr:col>
      <xdr:colOff>350520</xdr:colOff>
      <xdr:row>10</xdr:row>
      <xdr:rowOff>150651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D69C70E-6992-19A9-13EA-18444004A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274320"/>
          <a:ext cx="5227320" cy="170513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461010</xdr:colOff>
      <xdr:row>49</xdr:row>
      <xdr:rowOff>68580</xdr:rowOff>
    </xdr:from>
    <xdr:to>
      <xdr:col>5</xdr:col>
      <xdr:colOff>339090</xdr:colOff>
      <xdr:row>65</xdr:row>
      <xdr:rowOff>110490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CCBE545-D01F-C05E-3882-7163C1C2F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590550</xdr:colOff>
      <xdr:row>103</xdr:row>
      <xdr:rowOff>163830</xdr:rowOff>
    </xdr:from>
    <xdr:to>
      <xdr:col>4</xdr:col>
      <xdr:colOff>1466850</xdr:colOff>
      <xdr:row>118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D6C2B8-E36E-B77F-BEDB-2551DA459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0.01654</cdr:y>
    </cdr:from>
    <cdr:to>
      <cdr:x>0.38083</cdr:x>
      <cdr:y>0.18742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BEE0E518-3409-D60A-702F-BF64653AA27F}"/>
            </a:ext>
          </a:extLst>
        </cdr:cNvPr>
        <cdr:cNvSpPr txBox="1"/>
      </cdr:nvSpPr>
      <cdr:spPr>
        <a:xfrm xmlns:a="http://schemas.openxmlformats.org/drawingml/2006/main">
          <a:off x="0" y="49091"/>
          <a:ext cx="1741170" cy="5071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 b="1" kern="1200">
              <a:solidFill>
                <a:sysClr val="windowText" lastClr="000000"/>
              </a:solidFill>
            </a:rPr>
            <a:t>Distribuição</a:t>
          </a:r>
          <a:r>
            <a:rPr lang="pt-BR" sz="1100" b="1" kern="1200" baseline="0">
              <a:solidFill>
                <a:sysClr val="windowText" lastClr="000000"/>
              </a:solidFill>
            </a:rPr>
            <a:t> do Aporte por</a:t>
          </a:r>
        </a:p>
        <a:p xmlns:a="http://schemas.openxmlformats.org/drawingml/2006/main">
          <a:r>
            <a:rPr lang="pt-BR" sz="1100" b="1" kern="1200" baseline="0">
              <a:solidFill>
                <a:sysClr val="windowText" lastClr="000000"/>
              </a:solidFill>
            </a:rPr>
            <a:t> tipo de FII</a:t>
          </a:r>
          <a:endParaRPr lang="pt-BR" sz="1100" b="1" kern="1200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0.36803</cdr:x>
      <cdr:y>0.17113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C515910-08BE-D3D1-15DB-E97C3610019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1682642" cy="469433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3D1B-3370-479F-AD12-7627D8664762}">
  <dimension ref="A13:H130"/>
  <sheetViews>
    <sheetView showGridLines="0" tabSelected="1" topLeftCell="A89" zoomScale="90" zoomScaleNormal="90" workbookViewId="0">
      <selection activeCell="C90" sqref="C90"/>
    </sheetView>
  </sheetViews>
  <sheetFormatPr defaultColWidth="0" defaultRowHeight="14.4"/>
  <cols>
    <col min="1" max="2" width="8.88671875" customWidth="1"/>
    <col min="3" max="3" width="12.44140625" customWidth="1"/>
    <col min="4" max="4" width="23.6640625" customWidth="1"/>
    <col min="5" max="5" width="21.44140625" customWidth="1"/>
    <col min="6" max="6" width="8.88671875" customWidth="1"/>
    <col min="7" max="7" width="6.6640625" customWidth="1"/>
    <col min="8" max="8" width="4.33203125" customWidth="1"/>
    <col min="9" max="9" width="8.88671875" hidden="1" customWidth="1"/>
    <col min="10" max="16384" width="8.88671875" hidden="1"/>
  </cols>
  <sheetData>
    <row r="13" spans="2:5" ht="15" thickBot="1"/>
    <row r="14" spans="2:5" ht="26.4" thickBot="1">
      <c r="B14" s="33" t="s">
        <v>0</v>
      </c>
      <c r="C14" s="33"/>
      <c r="D14" s="33"/>
      <c r="E14" s="33"/>
    </row>
    <row r="15" spans="2:5" ht="16.2" thickBot="1">
      <c r="B15" s="32" t="s">
        <v>1</v>
      </c>
      <c r="C15" s="32"/>
      <c r="D15" s="32"/>
      <c r="E15" s="18">
        <v>2500</v>
      </c>
    </row>
    <row r="16" spans="2:5" ht="16.2" thickBot="1">
      <c r="B16" s="32" t="s">
        <v>2</v>
      </c>
      <c r="C16" s="32"/>
      <c r="D16" s="32"/>
      <c r="E16" s="19">
        <v>8.0000000000000002E-3</v>
      </c>
    </row>
    <row r="17" spans="1:5" ht="16.2" thickBot="1">
      <c r="B17" s="32" t="s">
        <v>15</v>
      </c>
      <c r="C17" s="32"/>
      <c r="D17" s="32"/>
      <c r="E17" s="18">
        <f>E15*30%</f>
        <v>750</v>
      </c>
    </row>
    <row r="19" spans="1:5" ht="15" thickBot="1"/>
    <row r="20" spans="1:5" ht="26.4" thickBot="1">
      <c r="B20" s="33" t="s">
        <v>3</v>
      </c>
      <c r="C20" s="33"/>
      <c r="D20" s="33"/>
      <c r="E20" s="33"/>
    </row>
    <row r="21" spans="1:5" ht="16.2" thickBot="1">
      <c r="B21" s="32" t="s">
        <v>11</v>
      </c>
      <c r="C21" s="32"/>
      <c r="D21" s="32"/>
      <c r="E21" s="18">
        <v>200</v>
      </c>
    </row>
    <row r="22" spans="1:5" ht="16.2" thickBot="1">
      <c r="B22" s="32" t="s">
        <v>4</v>
      </c>
      <c r="C22" s="32"/>
      <c r="D22" s="32"/>
      <c r="E22" s="20">
        <v>5</v>
      </c>
    </row>
    <row r="23" spans="1:5" ht="16.2" thickBot="1">
      <c r="B23" s="32" t="s">
        <v>12</v>
      </c>
      <c r="C23" s="32"/>
      <c r="D23" s="32"/>
      <c r="E23" s="19">
        <v>1.09E-2</v>
      </c>
    </row>
    <row r="24" spans="1:5" ht="16.2" thickBot="1">
      <c r="B24" s="32" t="s">
        <v>13</v>
      </c>
      <c r="C24" s="32"/>
      <c r="D24" s="32"/>
      <c r="E24" s="21">
        <f>FV(taxa_mensal,qtd_anos*12,aporte*-1)</f>
        <v>16815.13478179805</v>
      </c>
    </row>
    <row r="25" spans="1:5" ht="16.2" thickBot="1">
      <c r="B25" s="32" t="s">
        <v>14</v>
      </c>
      <c r="C25" s="32"/>
      <c r="D25" s="32"/>
      <c r="E25" s="18">
        <f>patrimonio*E16</f>
        <v>134.52107825438441</v>
      </c>
    </row>
    <row r="26" spans="1:5">
      <c r="E26" s="1"/>
    </row>
    <row r="27" spans="1:5" ht="15" thickBot="1"/>
    <row r="28" spans="1:5" ht="26.4" thickBot="1">
      <c r="B28" s="35" t="s">
        <v>5</v>
      </c>
      <c r="C28" s="36"/>
      <c r="D28" s="37"/>
      <c r="E28" s="3" t="s">
        <v>16</v>
      </c>
    </row>
    <row r="29" spans="1:5" ht="16.2" thickBot="1">
      <c r="A29" s="2">
        <v>2</v>
      </c>
      <c r="B29" s="32" t="s">
        <v>6</v>
      </c>
      <c r="C29" s="32"/>
      <c r="D29" s="22">
        <f>FV(taxa_mensal,A29*12,aporte*-1)</f>
        <v>5452.6507400449773</v>
      </c>
      <c r="E29" s="21">
        <f>D29*$E$16</f>
        <v>43.62120592035982</v>
      </c>
    </row>
    <row r="30" spans="1:5" ht="16.2" thickBot="1">
      <c r="A30" s="2">
        <v>5</v>
      </c>
      <c r="B30" s="32" t="s">
        <v>7</v>
      </c>
      <c r="C30" s="32"/>
      <c r="D30" s="22">
        <f>FV(taxa_mensal,A30*12,aporte*-1)</f>
        <v>16815.13478179805</v>
      </c>
      <c r="E30" s="21">
        <f t="shared" ref="E30:E33" si="0">D30*$E$16</f>
        <v>134.52107825438441</v>
      </c>
    </row>
    <row r="31" spans="1:5" ht="16.2" thickBot="1">
      <c r="A31" s="2">
        <v>10</v>
      </c>
      <c r="B31" s="32" t="s">
        <v>8</v>
      </c>
      <c r="C31" s="32"/>
      <c r="D31" s="22">
        <f>FV(taxa_mensal,A31*12,aporte*-1)</f>
        <v>49040.076859883011</v>
      </c>
      <c r="E31" s="21">
        <f t="shared" si="0"/>
        <v>392.32061487906412</v>
      </c>
    </row>
    <row r="32" spans="1:5" ht="16.2" thickBot="1">
      <c r="A32" s="2">
        <v>20</v>
      </c>
      <c r="B32" s="32" t="s">
        <v>9</v>
      </c>
      <c r="C32" s="32"/>
      <c r="D32" s="22">
        <f>FV(taxa_mensal,A32*12,aporte*-1)</f>
        <v>229148.79176383224</v>
      </c>
      <c r="E32" s="21">
        <f t="shared" si="0"/>
        <v>1833.1903341106579</v>
      </c>
    </row>
    <row r="33" spans="1:5" ht="16.2" thickBot="1">
      <c r="A33" s="2">
        <v>30</v>
      </c>
      <c r="B33" s="32" t="s">
        <v>10</v>
      </c>
      <c r="C33" s="32"/>
      <c r="D33" s="22">
        <f>FV(taxa_mensal,A33*12,aporte*-1)</f>
        <v>890631.22126811265</v>
      </c>
      <c r="E33" s="21">
        <f t="shared" si="0"/>
        <v>7125.0497701449012</v>
      </c>
    </row>
    <row r="36" spans="1:5" ht="15" thickBot="1">
      <c r="B36" s="23" t="s">
        <v>17</v>
      </c>
      <c r="C36" s="24" t="s">
        <v>18</v>
      </c>
    </row>
    <row r="37" spans="1:5" ht="15" thickBot="1">
      <c r="B37" s="38" t="s">
        <v>21</v>
      </c>
      <c r="C37" s="39"/>
      <c r="D37" s="40"/>
      <c r="E37" s="5">
        <v>200</v>
      </c>
    </row>
    <row r="39" spans="1:5">
      <c r="B39" s="16" t="s">
        <v>22</v>
      </c>
      <c r="C39" s="6"/>
      <c r="D39" s="16" t="s">
        <v>31</v>
      </c>
      <c r="E39" s="16" t="s">
        <v>32</v>
      </c>
    </row>
    <row r="40" spans="1:5">
      <c r="B40" t="s">
        <v>23</v>
      </c>
      <c r="D40" s="14">
        <f>VLOOKUP($C$36&amp;"-"&amp;B$40,Planilha2!A2:D19,4,)</f>
        <v>0.32</v>
      </c>
      <c r="E40" s="15">
        <f>$E$37*D40</f>
        <v>64</v>
      </c>
    </row>
    <row r="41" spans="1:5">
      <c r="B41" t="s">
        <v>24</v>
      </c>
      <c r="D41" s="14">
        <f>VLOOKUP($C$36&amp;"-"&amp;B$41,Planilha2!A3:D20,4,)</f>
        <v>0.35</v>
      </c>
      <c r="E41" s="15">
        <f t="shared" ref="E41:E45" si="1">$E$37*D41</f>
        <v>70</v>
      </c>
    </row>
    <row r="42" spans="1:5">
      <c r="B42" t="s">
        <v>25</v>
      </c>
      <c r="D42" s="14">
        <f>VLOOKUP($C$36&amp;"-"&amp;B$42,Planilha2!A4:D21,4,)</f>
        <v>0.08</v>
      </c>
      <c r="E42" s="15">
        <f t="shared" si="1"/>
        <v>16</v>
      </c>
    </row>
    <row r="43" spans="1:5">
      <c r="B43" t="s">
        <v>26</v>
      </c>
      <c r="D43" s="14">
        <f>VLOOKUP($C$36&amp;"-"&amp;B$43,Planilha2!A5:D22,4,)</f>
        <v>0.05</v>
      </c>
      <c r="E43" s="15">
        <f t="shared" si="1"/>
        <v>10</v>
      </c>
    </row>
    <row r="44" spans="1:5">
      <c r="B44" t="s">
        <v>27</v>
      </c>
      <c r="D44" s="14">
        <f>VLOOKUP($C$36&amp;"-"&amp;B$44,Planilha2!A6:D23,4,)</f>
        <v>0.1</v>
      </c>
      <c r="E44" s="15">
        <f t="shared" si="1"/>
        <v>20</v>
      </c>
    </row>
    <row r="45" spans="1:5">
      <c r="B45" t="s">
        <v>28</v>
      </c>
      <c r="D45" s="14">
        <f>VLOOKUP($C$36&amp;"-"&amp;B$45,Planilha2!A7:D24,4,)</f>
        <v>0.1</v>
      </c>
      <c r="E45" s="15">
        <f t="shared" si="1"/>
        <v>20</v>
      </c>
    </row>
    <row r="46" spans="1:5">
      <c r="B46" s="6"/>
      <c r="C46" s="6"/>
      <c r="D46" s="6"/>
      <c r="E46" s="17">
        <f>SUM(E40:E45)</f>
        <v>200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7" spans="2:5" ht="15" thickBot="1"/>
    <row r="68" spans="2:5" ht="26.4" thickBot="1">
      <c r="B68" s="33" t="s">
        <v>35</v>
      </c>
      <c r="C68" s="33"/>
      <c r="D68" s="33"/>
      <c r="E68" s="33"/>
    </row>
    <row r="69" spans="2:5" ht="16.2" thickBot="1">
      <c r="B69" s="32" t="s">
        <v>1</v>
      </c>
      <c r="C69" s="32"/>
      <c r="D69" s="32"/>
      <c r="E69" s="18">
        <v>10000</v>
      </c>
    </row>
    <row r="70" spans="2:5" ht="16.2" thickBot="1">
      <c r="B70" s="32" t="s">
        <v>2</v>
      </c>
      <c r="C70" s="32"/>
      <c r="D70" s="32"/>
      <c r="E70" s="19">
        <v>7.0000000000000001E-3</v>
      </c>
    </row>
    <row r="71" spans="2:5" ht="16.2" thickBot="1">
      <c r="B71" s="32" t="s">
        <v>15</v>
      </c>
      <c r="C71" s="32"/>
      <c r="D71" s="32"/>
      <c r="E71" s="18">
        <f>E69*30%</f>
        <v>3000</v>
      </c>
    </row>
    <row r="72" spans="2:5" ht="15.6">
      <c r="B72" s="27"/>
      <c r="C72" s="27"/>
      <c r="D72" s="27"/>
      <c r="E72" s="15"/>
    </row>
    <row r="73" spans="2:5" ht="15" thickBot="1"/>
    <row r="74" spans="2:5" ht="26.4" thickBot="1">
      <c r="B74" s="33" t="s">
        <v>36</v>
      </c>
      <c r="C74" s="33"/>
      <c r="D74" s="33"/>
      <c r="E74" s="33"/>
    </row>
    <row r="75" spans="2:5" ht="16.2" thickBot="1">
      <c r="B75" s="34" t="s">
        <v>11</v>
      </c>
      <c r="C75" s="34"/>
      <c r="D75" s="34"/>
      <c r="E75" s="26">
        <f>Salario_30*30%</f>
        <v>3000</v>
      </c>
    </row>
    <row r="76" spans="2:5" ht="16.2" thickBot="1">
      <c r="B76" s="34" t="s">
        <v>4</v>
      </c>
      <c r="C76" s="34"/>
      <c r="D76" s="34"/>
      <c r="E76" s="26">
        <v>5</v>
      </c>
    </row>
    <row r="77" spans="2:5" ht="16.2" thickBot="1">
      <c r="B77" s="32" t="s">
        <v>12</v>
      </c>
      <c r="C77" s="32"/>
      <c r="D77" s="32"/>
      <c r="E77" s="19">
        <v>1.0500000000000001E-2</v>
      </c>
    </row>
    <row r="78" spans="2:5" ht="16.2" thickBot="1">
      <c r="B78" s="32" t="s">
        <v>13</v>
      </c>
      <c r="C78" s="32"/>
      <c r="D78" s="32"/>
      <c r="E78" s="21">
        <f>FV(taxa_mensal_30,qtd_anos_30*12,aporte_30*-1)</f>
        <v>248986.75172470894</v>
      </c>
    </row>
    <row r="79" spans="2:5" ht="16.2" thickBot="1">
      <c r="B79" s="32" t="s">
        <v>14</v>
      </c>
      <c r="C79" s="32"/>
      <c r="D79" s="32"/>
      <c r="E79" s="18">
        <f>patrimonio_30*E16</f>
        <v>1991.8940137976715</v>
      </c>
    </row>
    <row r="81" spans="1:5" ht="15" thickBot="1"/>
    <row r="82" spans="1:5" ht="26.4" thickBot="1">
      <c r="A82" s="25">
        <v>2</v>
      </c>
      <c r="B82" s="35" t="s">
        <v>33</v>
      </c>
      <c r="C82" s="36"/>
      <c r="D82" s="37"/>
      <c r="E82" s="3" t="s">
        <v>16</v>
      </c>
    </row>
    <row r="83" spans="1:5" ht="16.2" thickBot="1">
      <c r="A83" s="25">
        <v>5</v>
      </c>
      <c r="B83" s="32" t="s">
        <v>6</v>
      </c>
      <c r="C83" s="32"/>
      <c r="D83" s="22">
        <f>FV(taxa_mensal_30,A82*12,aporte_30*-1)</f>
        <v>81401.943643870211</v>
      </c>
      <c r="E83" s="21">
        <f>D83*$E$16</f>
        <v>651.21554915096169</v>
      </c>
    </row>
    <row r="84" spans="1:5" ht="16.2" thickBot="1">
      <c r="A84" s="25">
        <v>10</v>
      </c>
      <c r="B84" s="32" t="s">
        <v>7</v>
      </c>
      <c r="C84" s="32"/>
      <c r="D84" s="22">
        <f>FV(taxa_mensal_30,A83*12,aporte_30*-1)</f>
        <v>248986.75172470894</v>
      </c>
      <c r="E84" s="21">
        <f t="shared" ref="E84:E87" si="2">D84*$E$16</f>
        <v>1991.8940137976715</v>
      </c>
    </row>
    <row r="85" spans="1:5" ht="16.2" thickBot="1">
      <c r="A85" s="25">
        <v>20</v>
      </c>
      <c r="B85" s="32" t="s">
        <v>8</v>
      </c>
      <c r="C85" s="32"/>
      <c r="D85" s="22">
        <f>FV(taxa_mensal_30,A84*12,aporte_30*-1)</f>
        <v>714953.91231989441</v>
      </c>
      <c r="E85" s="21">
        <f t="shared" si="2"/>
        <v>5719.6312985591558</v>
      </c>
    </row>
    <row r="86" spans="1:5" ht="16.2" thickBot="1">
      <c r="A86" s="25">
        <v>30</v>
      </c>
      <c r="B86" s="32" t="s">
        <v>9</v>
      </c>
      <c r="C86" s="32"/>
      <c r="D86" s="22">
        <f>FV(taxa_mensal_30,A85*12,aporte_30*-1)</f>
        <v>3218964.66323512</v>
      </c>
      <c r="E86" s="21">
        <f t="shared" si="2"/>
        <v>25751.71730588096</v>
      </c>
    </row>
    <row r="87" spans="1:5" ht="16.2" thickBot="1">
      <c r="B87" s="32" t="s">
        <v>10</v>
      </c>
      <c r="C87" s="32"/>
      <c r="D87" s="22">
        <f>FV(taxa_mensal_30,A86*12,aporte_30*-1)</f>
        <v>11988858.404153056</v>
      </c>
      <c r="E87" s="21">
        <f t="shared" si="2"/>
        <v>95910.867233224461</v>
      </c>
    </row>
    <row r="90" spans="1:5" ht="15" thickBot="1">
      <c r="B90" s="28" t="s">
        <v>34</v>
      </c>
      <c r="C90" s="28" t="s">
        <v>19</v>
      </c>
    </row>
    <row r="91" spans="1:5" ht="15" thickBot="1">
      <c r="B91" s="30" t="s">
        <v>21</v>
      </c>
      <c r="C91" s="31"/>
      <c r="D91" s="31"/>
      <c r="E91" s="29">
        <f>E75</f>
        <v>3000</v>
      </c>
    </row>
    <row r="94" spans="1:5">
      <c r="B94" s="16" t="s">
        <v>22</v>
      </c>
      <c r="C94" s="6"/>
      <c r="D94" s="16" t="s">
        <v>31</v>
      </c>
      <c r="E94" s="16" t="s">
        <v>32</v>
      </c>
    </row>
    <row r="95" spans="1:5">
      <c r="B95" t="s">
        <v>23</v>
      </c>
      <c r="D95" s="14">
        <f>VLOOKUP($C$90&amp;"-"&amp;B95,Planilha2!A2:D19,4,)</f>
        <v>0.5</v>
      </c>
      <c r="E95" s="15">
        <f>$E$91*D95</f>
        <v>1500</v>
      </c>
    </row>
    <row r="96" spans="1:5">
      <c r="B96" t="s">
        <v>24</v>
      </c>
      <c r="D96" s="14">
        <f>VLOOKUP($C$90&amp;"-"&amp;B96,Planilha2!A3:D20,4,)</f>
        <v>0.1</v>
      </c>
      <c r="E96" s="15">
        <f t="shared" ref="E96:E100" si="3">$E$91*D96</f>
        <v>300</v>
      </c>
    </row>
    <row r="97" spans="2:5">
      <c r="B97" t="s">
        <v>25</v>
      </c>
      <c r="D97" s="14">
        <f>VLOOKUP($C$90&amp;"-"&amp;B97,Planilha2!A4:D21,4,)</f>
        <v>0.05</v>
      </c>
      <c r="E97" s="15">
        <f t="shared" si="3"/>
        <v>150</v>
      </c>
    </row>
    <row r="98" spans="2:5">
      <c r="B98" t="s">
        <v>26</v>
      </c>
      <c r="D98" s="14">
        <f>VLOOKUP($C$90&amp;"-"&amp;B98,Planilha2!A5:D22,4,)</f>
        <v>0.05</v>
      </c>
      <c r="E98" s="15">
        <f t="shared" si="3"/>
        <v>150</v>
      </c>
    </row>
    <row r="99" spans="2:5">
      <c r="B99" t="s">
        <v>27</v>
      </c>
      <c r="D99" s="14">
        <f>VLOOKUP($C$90&amp;"-"&amp;B99,Planilha2!A6:D23,4,)</f>
        <v>0.2</v>
      </c>
      <c r="E99" s="15">
        <f t="shared" si="3"/>
        <v>600</v>
      </c>
    </row>
    <row r="100" spans="2:5">
      <c r="B100" t="s">
        <v>28</v>
      </c>
      <c r="D100" s="14">
        <f>VLOOKUP($C$90&amp;"-"&amp;B100,Planilha2!A7:D24,4,)</f>
        <v>0.1</v>
      </c>
      <c r="E100" s="15">
        <f t="shared" si="3"/>
        <v>300</v>
      </c>
    </row>
    <row r="101" spans="2:5">
      <c r="B101" s="6"/>
      <c r="C101" s="6"/>
      <c r="D101" s="6"/>
      <c r="E101" s="17">
        <f>SUM(E95:E100)</f>
        <v>3000</v>
      </c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</sheetData>
  <mergeCells count="34">
    <mergeCell ref="B14:E14"/>
    <mergeCell ref="B20:E20"/>
    <mergeCell ref="B15:D15"/>
    <mergeCell ref="B16:D16"/>
    <mergeCell ref="B17:D17"/>
    <mergeCell ref="B78:D78"/>
    <mergeCell ref="B21:D21"/>
    <mergeCell ref="B22:D22"/>
    <mergeCell ref="B23:D23"/>
    <mergeCell ref="B24:D24"/>
    <mergeCell ref="B25:D25"/>
    <mergeCell ref="B31:C31"/>
    <mergeCell ref="B32:C32"/>
    <mergeCell ref="B37:D37"/>
    <mergeCell ref="B33:C33"/>
    <mergeCell ref="B28:D28"/>
    <mergeCell ref="B29:C29"/>
    <mergeCell ref="B30:C30"/>
    <mergeCell ref="B91:D91"/>
    <mergeCell ref="B86:C86"/>
    <mergeCell ref="B87:C87"/>
    <mergeCell ref="B68:E68"/>
    <mergeCell ref="B69:D69"/>
    <mergeCell ref="B70:D70"/>
    <mergeCell ref="B74:E74"/>
    <mergeCell ref="B75:D75"/>
    <mergeCell ref="B79:D79"/>
    <mergeCell ref="B82:D82"/>
    <mergeCell ref="B83:C83"/>
    <mergeCell ref="B84:C84"/>
    <mergeCell ref="B85:C85"/>
    <mergeCell ref="B71:D71"/>
    <mergeCell ref="B76:D76"/>
    <mergeCell ref="B77:D77"/>
  </mergeCells>
  <dataValidations count="1">
    <dataValidation type="list" allowBlank="1" showInputMessage="1" showErrorMessage="1" sqref="C36 C90" xr:uid="{0D430628-9B6E-46D4-8951-8864C1BC0C32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3B55-D669-4B12-9107-C37ECDF28A5F}">
  <dimension ref="A1:G19"/>
  <sheetViews>
    <sheetView workbookViewId="0">
      <selection activeCell="G13" sqref="G13"/>
    </sheetView>
  </sheetViews>
  <sheetFormatPr defaultRowHeight="14.4"/>
  <cols>
    <col min="1" max="1" width="28.77734375" bestFit="1" customWidth="1"/>
    <col min="2" max="2" width="11.21875" bestFit="1" customWidth="1"/>
    <col min="3" max="3" width="17.6640625" bestFit="1" customWidth="1"/>
    <col min="4" max="4" width="4.5546875" bestFit="1" customWidth="1"/>
    <col min="6" max="6" width="15.109375" bestFit="1" customWidth="1"/>
    <col min="7" max="7" width="7.109375" bestFit="1" customWidth="1"/>
  </cols>
  <sheetData>
    <row r="1" spans="1:7">
      <c r="A1" s="7" t="s">
        <v>29</v>
      </c>
      <c r="B1" s="7" t="s">
        <v>17</v>
      </c>
      <c r="C1" s="8" t="s">
        <v>22</v>
      </c>
      <c r="D1" s="8" t="s">
        <v>30</v>
      </c>
    </row>
    <row r="2" spans="1:7">
      <c r="A2" t="str">
        <f>B2&amp;"-"&amp;C2</f>
        <v>Conservador-PAPEL</v>
      </c>
      <c r="B2" t="s">
        <v>20</v>
      </c>
      <c r="C2" s="4" t="s">
        <v>23</v>
      </c>
      <c r="D2" s="9">
        <v>0.3</v>
      </c>
      <c r="G2" s="13"/>
    </row>
    <row r="3" spans="1:7">
      <c r="A3" t="str">
        <f t="shared" ref="A3:A19" si="0">B3&amp;"-"&amp;C3</f>
        <v>Conservador-TIJOLO</v>
      </c>
      <c r="B3" t="s">
        <v>20</v>
      </c>
      <c r="C3" s="4" t="s">
        <v>24</v>
      </c>
      <c r="D3" s="9">
        <v>0.5</v>
      </c>
    </row>
    <row r="4" spans="1:7">
      <c r="A4" t="str">
        <f t="shared" si="0"/>
        <v>Conservador-HÍBRIDOS</v>
      </c>
      <c r="B4" t="s">
        <v>20</v>
      </c>
      <c r="C4" s="4" t="s">
        <v>25</v>
      </c>
      <c r="D4" s="9">
        <v>0.1</v>
      </c>
    </row>
    <row r="5" spans="1:7">
      <c r="A5" t="str">
        <f t="shared" si="0"/>
        <v>Conservador-FOFs</v>
      </c>
      <c r="B5" t="s">
        <v>20</v>
      </c>
      <c r="C5" s="4" t="s">
        <v>26</v>
      </c>
      <c r="D5" s="9">
        <v>0.1</v>
      </c>
    </row>
    <row r="6" spans="1:7">
      <c r="A6" t="str">
        <f t="shared" si="0"/>
        <v>Conservador-DESENVOLVIMENTO</v>
      </c>
      <c r="B6" t="s">
        <v>20</v>
      </c>
      <c r="C6" s="4" t="s">
        <v>27</v>
      </c>
      <c r="D6" s="9">
        <v>0</v>
      </c>
    </row>
    <row r="7" spans="1:7" ht="15" thickBot="1">
      <c r="A7" s="10" t="str">
        <f t="shared" si="0"/>
        <v>Conservador-HOTELARIAS</v>
      </c>
      <c r="B7" s="10" t="s">
        <v>20</v>
      </c>
      <c r="C7" s="11" t="s">
        <v>28</v>
      </c>
      <c r="D7" s="12">
        <v>0</v>
      </c>
    </row>
    <row r="8" spans="1:7">
      <c r="A8" t="str">
        <f t="shared" si="0"/>
        <v>Moderado-PAPEL</v>
      </c>
      <c r="B8" t="s">
        <v>18</v>
      </c>
      <c r="C8" s="4" t="s">
        <v>23</v>
      </c>
      <c r="D8" s="9">
        <v>0.32</v>
      </c>
    </row>
    <row r="9" spans="1:7">
      <c r="A9" t="str">
        <f t="shared" si="0"/>
        <v>Moderado-TIJOLO</v>
      </c>
      <c r="B9" t="s">
        <v>18</v>
      </c>
      <c r="C9" s="4" t="s">
        <v>24</v>
      </c>
      <c r="D9" s="9">
        <v>0.35</v>
      </c>
    </row>
    <row r="10" spans="1:7">
      <c r="A10" t="str">
        <f t="shared" si="0"/>
        <v>Moderado-HÍBRIDOS</v>
      </c>
      <c r="B10" t="s">
        <v>18</v>
      </c>
      <c r="C10" s="4" t="s">
        <v>25</v>
      </c>
      <c r="D10" s="9">
        <v>0.08</v>
      </c>
    </row>
    <row r="11" spans="1:7">
      <c r="A11" t="str">
        <f t="shared" si="0"/>
        <v>Moderado-FOFs</v>
      </c>
      <c r="B11" t="s">
        <v>18</v>
      </c>
      <c r="C11" s="4" t="s">
        <v>26</v>
      </c>
      <c r="D11" s="9">
        <v>0.05</v>
      </c>
    </row>
    <row r="12" spans="1:7">
      <c r="A12" t="str">
        <f t="shared" si="0"/>
        <v>Moderado-DESENVOLVIMENTO</v>
      </c>
      <c r="B12" t="s">
        <v>18</v>
      </c>
      <c r="C12" s="4" t="s">
        <v>27</v>
      </c>
      <c r="D12" s="9">
        <v>0.1</v>
      </c>
    </row>
    <row r="13" spans="1:7" ht="15" thickBot="1">
      <c r="A13" s="10" t="str">
        <f t="shared" si="0"/>
        <v>Moderado-HOTELARIAS</v>
      </c>
      <c r="B13" s="10" t="s">
        <v>18</v>
      </c>
      <c r="C13" s="11" t="s">
        <v>28</v>
      </c>
      <c r="D13" s="12">
        <v>0.1</v>
      </c>
    </row>
    <row r="14" spans="1:7">
      <c r="A14" t="str">
        <f t="shared" si="0"/>
        <v>Agressivo-PAPEL</v>
      </c>
      <c r="B14" t="s">
        <v>19</v>
      </c>
      <c r="C14" s="4" t="s">
        <v>23</v>
      </c>
      <c r="D14" s="9">
        <v>0.5</v>
      </c>
    </row>
    <row r="15" spans="1:7">
      <c r="A15" t="str">
        <f t="shared" si="0"/>
        <v>Agressivo-TIJOLO</v>
      </c>
      <c r="B15" t="s">
        <v>19</v>
      </c>
      <c r="C15" s="4" t="s">
        <v>24</v>
      </c>
      <c r="D15" s="9">
        <v>0.1</v>
      </c>
    </row>
    <row r="16" spans="1:7">
      <c r="A16" t="str">
        <f t="shared" si="0"/>
        <v>Agressivo-HÍBRIDOS</v>
      </c>
      <c r="B16" t="s">
        <v>19</v>
      </c>
      <c r="C16" s="4" t="s">
        <v>25</v>
      </c>
      <c r="D16" s="9">
        <v>0.05</v>
      </c>
    </row>
    <row r="17" spans="1:4">
      <c r="A17" t="str">
        <f t="shared" si="0"/>
        <v>Agressivo-FOFs</v>
      </c>
      <c r="B17" t="s">
        <v>19</v>
      </c>
      <c r="C17" s="4" t="s">
        <v>26</v>
      </c>
      <c r="D17" s="9">
        <v>0.05</v>
      </c>
    </row>
    <row r="18" spans="1:4">
      <c r="A18" t="str">
        <f t="shared" si="0"/>
        <v>Agressivo-DESENVOLVIMENTO</v>
      </c>
      <c r="B18" t="s">
        <v>19</v>
      </c>
      <c r="C18" s="4" t="s">
        <v>27</v>
      </c>
      <c r="D18" s="9">
        <v>0.2</v>
      </c>
    </row>
    <row r="19" spans="1:4">
      <c r="A19" t="str">
        <f t="shared" si="0"/>
        <v>Agressivo-HOTELARIAS</v>
      </c>
      <c r="B19" t="s">
        <v>19</v>
      </c>
      <c r="C19" s="4" t="s">
        <v>28</v>
      </c>
      <c r="D19" s="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10</vt:i4>
      </vt:variant>
    </vt:vector>
  </HeadingPairs>
  <TitlesOfParts>
    <vt:vector size="12" baseType="lpstr">
      <vt:lpstr>Ju_Invest</vt:lpstr>
      <vt:lpstr>Planilha2</vt:lpstr>
      <vt:lpstr>aporte</vt:lpstr>
      <vt:lpstr>aporte_30</vt:lpstr>
      <vt:lpstr>patrimonio</vt:lpstr>
      <vt:lpstr>patrimonio_30</vt:lpstr>
      <vt:lpstr>qtd_anos</vt:lpstr>
      <vt:lpstr>qtd_anos_30</vt:lpstr>
      <vt:lpstr>Salario</vt:lpstr>
      <vt:lpstr>Salario_30</vt:lpstr>
      <vt:lpstr>taxa_mensal</vt:lpstr>
      <vt:lpstr>taxa_mensal_30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de Araujo</dc:creator>
  <cp:lastModifiedBy>Juliana de Araujo</cp:lastModifiedBy>
  <cp:lastPrinted>2026-10-15T01:32:41Z</cp:lastPrinted>
  <dcterms:created xsi:type="dcterms:W3CDTF">2026-10-08T01:29:15Z</dcterms:created>
  <dcterms:modified xsi:type="dcterms:W3CDTF">2026-10-15T02:02:37Z</dcterms:modified>
</cp:coreProperties>
</file>